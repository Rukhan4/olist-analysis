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18687/Documents/Code/olist/"/>
    </mc:Choice>
  </mc:AlternateContent>
  <xr:revisionPtr revIDLastSave="0" documentId="13_ncr:1_{12341AC1-A1C5-CC48-9F0B-4E5B6B6C6366}" xr6:coauthVersionLast="47" xr6:coauthVersionMax="47" xr10:uidLastSave="{00000000-0000-0000-0000-000000000000}"/>
  <bookViews>
    <workbookView xWindow="0" yWindow="700" windowWidth="34200" windowHeight="21440" tabRatio="500" xr2:uid="{00000000-000D-0000-FFFF-FFFF00000000}"/>
  </bookViews>
  <sheets>
    <sheet name="Executive Summary" sheetId="1" r:id="rId1"/>
    <sheet name="Supporting Data" sheetId="3" r:id="rId2"/>
  </sheets>
  <definedNames>
    <definedName name="_xlnm.Print_Area" localSheetId="0">'Executive Summary'!$A$1:$P$30</definedName>
    <definedName name="_xlnm.Print_Area" localSheetId="1">'Supporting Data'!$A$1:$D$30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1" l="1"/>
  <c r="D7" i="1"/>
  <c r="C7" i="1"/>
  <c r="B7" i="1"/>
</calcChain>
</file>

<file path=xl/sharedStrings.xml><?xml version="1.0" encoding="utf-8"?>
<sst xmlns="http://schemas.openxmlformats.org/spreadsheetml/2006/main" count="56" uniqueCount="55">
  <si>
    <t>Olist E-Commerce: Delivery Speed &amp; Customer Satisfaction</t>
  </si>
  <si>
    <t>Executive Summary  |  Quasi-Experimental Analysis of Delivery Performance's Causal Effect on Customer Satisfaction</t>
  </si>
  <si>
    <t>Fastest vs. Slowest
Avg Review Score Gap</t>
  </si>
  <si>
    <t>Late Order Odds
Reduction (Adjusted)</t>
  </si>
  <si>
    <t>Top-5 Revenue Seller
At Satisfaction Risk</t>
  </si>
  <si>
    <t>Orders Analyzed
(Full Pipeline)</t>
  </si>
  <si>
    <t>KEY FINDINGS</t>
  </si>
  <si>
    <t>●  Delivery speed causally affects satisfaction.</t>
  </si>
  <si>
    <t>Even after controlling for 20+ confounders (category, region, distance, order value), each additional delivery day reduces the odds of a higher review score by 5.2%, and a late order has 72.7% lower odds vs. an on-time one (95% CI: 71.1-74.3%).</t>
  </si>
  <si>
    <t>●  Lateness matters more than raw speed.</t>
  </si>
  <si>
    <t>Whether an order arrived AFTER the promised date predicts satisfaction more strongly than how many days delivery took in absolute terms — an expectation-management finding, not simply "faster is better."</t>
  </si>
  <si>
    <t>●  One top seller is actively hurting satisfaction.</t>
  </si>
  <si>
    <t>The platform's 5th-highest-revenue seller ($186.5K, 976 orders) has an average review score of 3.35, well below the ~4.1-4.2 norm — a concrete, named business risk.</t>
  </si>
  <si>
    <t>●  Order complexity independently hurts satisfaction.</t>
  </si>
  <si>
    <t>More items per order predicts lower satisfaction even controlling for order value — multi-item orders likely carry added risk (damage, missing items) unrelated to delivery.</t>
  </si>
  <si>
    <t>●  ~90% of customers are one-time buyers.</t>
  </si>
  <si>
    <t>Traditional loyalty (RFM) segmentation is a weak lens for this business; the more actionable question is what drives a customer to purchase a SECOND time at all.</t>
  </si>
  <si>
    <t>RECOMMENDATIONS</t>
  </si>
  <si>
    <t>→  Prioritize on-time delivery accuracy over raw speed optimization — tightening the ESTIMATED delivery date's reliability likely yields more satisfaction gain per dollar than expedited shipping investment.</t>
  </si>
  <si>
    <t>→  Initiate a performance review of seller #5 (see Supporting Data) — a high-volume seller with disproportionately low satisfaction is a retention and reputation risk worth direct intervention.</t>
  </si>
  <si>
    <t>→  Investigate multi-item order fulfillment (packaging, partial shipment) as a satisfaction lever independent of delivery speed.</t>
  </si>
  <si>
    <t>→  Shift retention strategy focus from loyalty-tier programs (weak fit given 90% one-time buyers) toward first-purchase experience quality, which is more likely to convert one-time buyers into repeat customers.</t>
  </si>
  <si>
    <t>Methodology: Quasi-experimental ordinal logistic regression (PostgreSQL + Python), validated via VIF, likelihood ratio test (χ²=11,373.6, p&lt;0.001), and non-parametric tests (Mann-Whitney U, Kruskal-Wallis). Full detail in Supporting Data tab and project documentation.</t>
  </si>
  <si>
    <t>Supporting Data</t>
  </si>
  <si>
    <t>1. Review Score by Delivery Speed Bucket</t>
  </si>
  <si>
    <t>Delivery Bucket</t>
  </si>
  <si>
    <t># Orders</t>
  </si>
  <si>
    <t>Avg Review Score</t>
  </si>
  <si>
    <t>% Late</t>
  </si>
  <si>
    <t>0-3 days</t>
  </si>
  <si>
    <t>4-7 days</t>
  </si>
  <si>
    <t>8-14 days</t>
  </si>
  <si>
    <t>15-21 days</t>
  </si>
  <si>
    <t>22+ days</t>
  </si>
  <si>
    <t>Not Delivered</t>
  </si>
  <si>
    <t>Source: SQL naive baseline query, Phase 2 (order_features view)</t>
  </si>
  <si>
    <t>2. Causal Regression Results (Ordinal Logistic, Adjusted for Confounders)</t>
  </si>
  <si>
    <t>Variable</t>
  </si>
  <si>
    <t>% Change in Odds</t>
  </si>
  <si>
    <t>95% CI Low</t>
  </si>
  <si>
    <t>95% CI High</t>
  </si>
  <si>
    <t>Delivery Days (per 1 SD)</t>
  </si>
  <si>
    <t>Order Is Late (yes vs. no)</t>
  </si>
  <si>
    <t>Item Count (per 1 SD)</t>
  </si>
  <si>
    <t>Distance (per 1 SD)</t>
  </si>
  <si>
    <t>Source: Ordinal logistic regression, Phase 4; 95% CIs, Phase 5. All effects statistically significant (p&lt;0.05).</t>
  </si>
  <si>
    <t>3. Seller Performance: Top Revenue Sellers vs. Satisfaction</t>
  </si>
  <si>
    <t>Seller ID</t>
  </si>
  <si>
    <t>Revenue Rank</t>
  </si>
  <si>
    <t>Total Revenue</t>
  </si>
  <si>
    <t>4869f7a5...52b2</t>
  </si>
  <si>
    <t>53243585...d905</t>
  </si>
  <si>
    <t>4a3ca931...3884</t>
  </si>
  <si>
    <t>7c67e144...10ab (AT RISK)</t>
  </si>
  <si>
    <t>Source: SQL seller leaderboard (RANK window function), Phase 2. Seller #5 ranks bottom 5% platform-wide for satisfaction despite top-5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</si>
</sst>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18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595959"/>
      <name val="Arial"/>
      <charset val="1"/>
    </font>
    <font>
      <b/>
      <sz val="9"/>
      <color rgb="FF595959"/>
      <name val="Arial"/>
      <charset val="1"/>
    </font>
    <font>
      <b/>
      <sz val="20"/>
      <color rgb="FFC00000"/>
      <name val="Arial"/>
      <charset val="1"/>
    </font>
    <font>
      <b/>
      <sz val="20"/>
      <color rgb="FFE36C09"/>
      <name val="Arial"/>
      <charset val="1"/>
    </font>
    <font>
      <b/>
      <sz val="20"/>
      <color rgb="FF1F3864"/>
      <name val="Arial"/>
      <charset val="1"/>
    </font>
    <font>
      <b/>
      <sz val="12"/>
      <color rgb="FFFFFFFF"/>
      <name val="Arial"/>
      <charset val="1"/>
    </font>
    <font>
      <b/>
      <sz val="10.5"/>
      <color rgb="FF2E7D32"/>
      <name val="Arial"/>
      <charset val="1"/>
    </font>
    <font>
      <sz val="9.5"/>
      <color rgb="FF404040"/>
      <name val="Arial"/>
      <charset val="1"/>
    </font>
    <font>
      <b/>
      <sz val="10.5"/>
      <color rgb="FFC00000"/>
      <name val="Arial"/>
      <charset val="1"/>
    </font>
    <font>
      <b/>
      <sz val="10.5"/>
      <color rgb="FFE36C09"/>
      <name val="Arial"/>
      <charset val="1"/>
    </font>
    <font>
      <sz val="9.5"/>
      <color rgb="FF1F3864"/>
      <name val="Arial"/>
      <charset val="1"/>
    </font>
    <font>
      <i/>
      <sz val="8"/>
      <color rgb="FF808080"/>
      <name val="Arial"/>
      <charset val="1"/>
    </font>
    <font>
      <b/>
      <sz val="14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C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9F9F9"/>
      </patternFill>
    </fill>
    <fill>
      <patternFill patternType="solid">
        <fgColor rgb="FF4472C4"/>
        <bgColor rgb="FF4F81BD"/>
      </patternFill>
    </fill>
    <fill>
      <patternFill patternType="solid">
        <fgColor rgb="FFFDECEA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3" fillId="0" borderId="0" xfId="0" applyFont="1" applyAlignment="1">
      <alignment wrapText="1"/>
    </xf>
    <xf numFmtId="0" fontId="12" fillId="0" borderId="0" xfId="0" applyFont="1" applyAlignment="1">
      <alignment vertical="top" wrapText="1"/>
    </xf>
    <xf numFmtId="0" fontId="11" fillId="0" borderId="0" xfId="0" applyFont="1"/>
    <xf numFmtId="0" fontId="10" fillId="0" borderId="0" xfId="0" applyFont="1"/>
    <xf numFmtId="0" fontId="9" fillId="0" borderId="0" xfId="0" applyFont="1" applyAlignment="1">
      <alignment vertical="top" wrapText="1"/>
    </xf>
    <xf numFmtId="0" fontId="8" fillId="0" borderId="0" xfId="0" applyFont="1"/>
    <xf numFmtId="0" fontId="7" fillId="2" borderId="0" xfId="0" applyFont="1" applyFill="1"/>
    <xf numFmtId="0" fontId="3" fillId="3" borderId="1" xfId="0" applyFont="1" applyFill="1" applyBorder="1" applyAlignment="1">
      <alignment wrapText="1"/>
    </xf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2" fontId="4" fillId="3" borderId="1" xfId="0" applyNumberFormat="1" applyFont="1" applyFill="1" applyBorder="1"/>
    <xf numFmtId="164" fontId="4" fillId="3" borderId="1" xfId="0" applyNumberFormat="1" applyFont="1" applyFill="1" applyBorder="1"/>
    <xf numFmtId="165" fontId="5" fillId="3" borderId="1" xfId="0" applyNumberFormat="1" applyFont="1" applyFill="1" applyBorder="1"/>
    <xf numFmtId="3" fontId="6" fillId="3" borderId="1" xfId="0" applyNumberFormat="1" applyFont="1" applyFill="1" applyBorder="1"/>
    <xf numFmtId="0" fontId="14" fillId="0" borderId="0" xfId="0" applyFont="1"/>
    <xf numFmtId="0" fontId="15" fillId="2" borderId="0" xfId="0" applyFont="1" applyFill="1"/>
    <xf numFmtId="0" fontId="0" fillId="2" borderId="0" xfId="0" applyFill="1"/>
    <xf numFmtId="0" fontId="16" fillId="4" borderId="1" xfId="0" applyFont="1" applyFill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13" fillId="0" borderId="0" xfId="0" applyFont="1"/>
    <xf numFmtId="165" fontId="0" fillId="0" borderId="1" xfId="0" applyNumberFormat="1" applyBorder="1"/>
    <xf numFmtId="0" fontId="17" fillId="5" borderId="1" xfId="0" applyFont="1" applyFill="1" applyBorder="1"/>
    <xf numFmtId="165" fontId="17" fillId="5" borderId="1" xfId="0" applyNumberFormat="1" applyFont="1" applyFill="1" applyBorder="1"/>
    <xf numFmtId="2" fontId="17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08080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A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36C09"/>
      <rgbColor rgb="FF595959"/>
      <rgbColor rgb="FF878787"/>
      <rgbColor rgb="FF1F3864"/>
      <rgbColor rgb="FF2E7D32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TT" sz="1800" b="1" strike="noStrike" spc="-1">
                <a:solidFill>
                  <a:srgbClr val="000000"/>
                </a:solidFill>
                <a:latin typeface="Calibri"/>
              </a:rPr>
              <a:t>Avg. Review Score by Delivery Speed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'Supporting Data'!$C$4</c:f>
              <c:strCache>
                <c:ptCount val="1"/>
                <c:pt idx="0">
                  <c:v>Avg Review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'Supporting Data'!$A$5:$A$10</c:f>
              <c:strCache>
                <c:ptCount val="6"/>
                <c:pt idx="0">
                  <c:v>0-3 days</c:v>
                </c:pt>
                <c:pt idx="1">
                  <c:v>4-7 days</c:v>
                </c:pt>
                <c:pt idx="2">
                  <c:v>8-14 days</c:v>
                </c:pt>
                <c:pt idx="3">
                  <c:v>15-21 days</c:v>
                </c:pt>
                <c:pt idx="4">
                  <c:v>22+ days</c:v>
                </c:pt>
                <c:pt idx="5">
                  <c:v>Not Delivered</c:v>
                </c:pt>
              </c:strCache>
            </c:strRef>
          </c:cat>
          <c:val>
            <c:numRef>
              <c:f>'Supporting Data'!$C$5:$C$10</c:f>
              <c:numCache>
                <c:formatCode>0.00</c:formatCode>
                <c:ptCount val="6"/>
                <c:pt idx="0">
                  <c:v>4.46</c:v>
                </c:pt>
                <c:pt idx="1">
                  <c:v>4.3899999999999997</c:v>
                </c:pt>
                <c:pt idx="2">
                  <c:v>4.29</c:v>
                </c:pt>
                <c:pt idx="3">
                  <c:v>4.0999999999999996</c:v>
                </c:pt>
                <c:pt idx="4">
                  <c:v>3.01</c:v>
                </c:pt>
                <c:pt idx="5">
                  <c:v>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E-1446-9E39-068277F7E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895486"/>
        <c:axId val="34153703"/>
      </c:barChart>
      <c:catAx>
        <c:axId val="878954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TT" sz="1000" b="1" strike="noStrike" spc="-1">
                    <a:solidFill>
                      <a:srgbClr val="000000"/>
                    </a:solidFill>
                    <a:latin typeface="Calibri"/>
                  </a:rPr>
                  <a:t>Delivery Bucket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153703"/>
        <c:crosses val="autoZero"/>
        <c:auto val="1"/>
        <c:lblAlgn val="ctr"/>
        <c:lblOffset val="100"/>
        <c:noMultiLvlLbl val="0"/>
      </c:catAx>
      <c:valAx>
        <c:axId val="341537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TT" sz="1000" b="1" strike="noStrike" spc="-1">
                    <a:solidFill>
                      <a:srgbClr val="000000"/>
                    </a:solidFill>
                    <a:latin typeface="Calibri"/>
                  </a:rPr>
                  <a:t>Avg Review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8954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14</xdr:col>
      <xdr:colOff>587520</xdr:colOff>
      <xdr:row>16</xdr:row>
      <xdr:rowOff>78480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"/>
  <sheetViews>
    <sheetView showGridLines="0" tabSelected="1" zoomScale="150" zoomScaleNormal="100" workbookViewId="0">
      <selection sqref="A1:H2"/>
    </sheetView>
  </sheetViews>
  <sheetFormatPr baseColWidth="10" defaultColWidth="8.6640625" defaultRowHeight="15" x14ac:dyDescent="0.2"/>
  <cols>
    <col min="1" max="1" width="3" customWidth="1"/>
    <col min="2" max="2" width="24" customWidth="1"/>
    <col min="3" max="5" width="22" customWidth="1"/>
    <col min="6" max="8" width="3" customWidth="1"/>
  </cols>
  <sheetData>
    <row r="1" spans="1:8" x14ac:dyDescent="0.2">
      <c r="A1" s="10" t="s">
        <v>0</v>
      </c>
      <c r="B1" s="10"/>
      <c r="C1" s="10"/>
      <c r="D1" s="10"/>
      <c r="E1" s="10"/>
      <c r="F1" s="10"/>
      <c r="G1" s="10"/>
      <c r="H1" s="10"/>
    </row>
    <row r="2" spans="1:8" x14ac:dyDescent="0.2">
      <c r="A2" s="10"/>
      <c r="B2" s="10"/>
      <c r="C2" s="10"/>
      <c r="D2" s="10"/>
      <c r="E2" s="10"/>
      <c r="F2" s="10"/>
      <c r="G2" s="10"/>
      <c r="H2" s="10"/>
    </row>
    <row r="3" spans="1:8" ht="18" customHeight="1" x14ac:dyDescent="0.2">
      <c r="A3" s="9" t="s">
        <v>1</v>
      </c>
      <c r="B3" s="9"/>
      <c r="C3" s="9"/>
      <c r="D3" s="9"/>
      <c r="E3" s="9"/>
      <c r="F3" s="9"/>
      <c r="G3" s="9"/>
      <c r="H3" s="9"/>
    </row>
    <row r="5" spans="1:8" ht="15" customHeight="1" x14ac:dyDescent="0.2">
      <c r="B5" s="8" t="s">
        <v>2</v>
      </c>
      <c r="C5" s="8" t="s">
        <v>3</v>
      </c>
      <c r="D5" s="8" t="s">
        <v>4</v>
      </c>
      <c r="E5" s="8" t="s">
        <v>5</v>
      </c>
    </row>
    <row r="6" spans="1:8" ht="15" customHeight="1" x14ac:dyDescent="0.2">
      <c r="B6" s="8"/>
      <c r="C6" s="8"/>
      <c r="D6" s="8"/>
      <c r="E6" s="8"/>
    </row>
    <row r="7" spans="1:8" ht="31.5" customHeight="1" x14ac:dyDescent="0.25">
      <c r="B7" s="11">
        <f>'Supporting Data'!C5-'Supporting Data'!C9</f>
        <v>1.4500000000000002</v>
      </c>
      <c r="C7" s="12">
        <f>-'Supporting Data'!B17</f>
        <v>0.72699999999999998</v>
      </c>
      <c r="D7" s="13">
        <f>'Supporting Data'!C28</f>
        <v>186524.07</v>
      </c>
      <c r="E7" s="14">
        <f>8565+24976+36191+15264+10834+2843</f>
        <v>98673</v>
      </c>
    </row>
    <row r="10" spans="1:8" ht="16" x14ac:dyDescent="0.2">
      <c r="B10" s="7" t="s">
        <v>6</v>
      </c>
      <c r="C10" s="7"/>
      <c r="D10" s="7"/>
      <c r="E10" s="7"/>
    </row>
    <row r="11" spans="1:8" x14ac:dyDescent="0.2">
      <c r="B11" s="6" t="s">
        <v>7</v>
      </c>
      <c r="C11" s="6"/>
      <c r="D11" s="6"/>
      <c r="E11" s="6"/>
    </row>
    <row r="12" spans="1:8" ht="27.75" customHeight="1" x14ac:dyDescent="0.2">
      <c r="B12" s="5" t="s">
        <v>8</v>
      </c>
      <c r="C12" s="5"/>
      <c r="D12" s="5"/>
      <c r="E12" s="5"/>
    </row>
    <row r="13" spans="1:8" x14ac:dyDescent="0.2">
      <c r="B13" s="6" t="s">
        <v>9</v>
      </c>
      <c r="C13" s="6"/>
      <c r="D13" s="6"/>
      <c r="E13" s="6"/>
    </row>
    <row r="14" spans="1:8" ht="27.75" customHeight="1" x14ac:dyDescent="0.2">
      <c r="B14" s="5" t="s">
        <v>10</v>
      </c>
      <c r="C14" s="5"/>
      <c r="D14" s="5"/>
      <c r="E14" s="5"/>
    </row>
    <row r="15" spans="1:8" x14ac:dyDescent="0.2">
      <c r="B15" s="4" t="s">
        <v>11</v>
      </c>
      <c r="C15" s="4"/>
      <c r="D15" s="4"/>
      <c r="E15" s="4"/>
    </row>
    <row r="16" spans="1:8" ht="27.75" customHeight="1" x14ac:dyDescent="0.2">
      <c r="B16" s="5" t="s">
        <v>12</v>
      </c>
      <c r="C16" s="5"/>
      <c r="D16" s="5"/>
      <c r="E16" s="5"/>
    </row>
    <row r="17" spans="2:5" x14ac:dyDescent="0.2">
      <c r="B17" s="3" t="s">
        <v>13</v>
      </c>
      <c r="C17" s="3"/>
      <c r="D17" s="3"/>
      <c r="E17" s="3"/>
    </row>
    <row r="18" spans="2:5" ht="27.75" customHeight="1" x14ac:dyDescent="0.2">
      <c r="B18" s="5" t="s">
        <v>14</v>
      </c>
      <c r="C18" s="5"/>
      <c r="D18" s="5"/>
      <c r="E18" s="5"/>
    </row>
    <row r="19" spans="2:5" x14ac:dyDescent="0.2">
      <c r="B19" s="3" t="s">
        <v>15</v>
      </c>
      <c r="C19" s="3"/>
      <c r="D19" s="3"/>
      <c r="E19" s="3"/>
    </row>
    <row r="20" spans="2:5" ht="27.75" customHeight="1" x14ac:dyDescent="0.2">
      <c r="B20" s="5" t="s">
        <v>16</v>
      </c>
      <c r="C20" s="5"/>
      <c r="D20" s="5"/>
      <c r="E20" s="5"/>
    </row>
    <row r="22" spans="2:5" ht="16" x14ac:dyDescent="0.2">
      <c r="B22" s="7" t="s">
        <v>17</v>
      </c>
      <c r="C22" s="7"/>
      <c r="D22" s="7"/>
      <c r="E22" s="7"/>
    </row>
    <row r="23" spans="2:5" ht="27.75" customHeight="1" x14ac:dyDescent="0.2">
      <c r="B23" s="2" t="s">
        <v>18</v>
      </c>
      <c r="C23" s="2"/>
      <c r="D23" s="2"/>
      <c r="E23" s="2"/>
    </row>
    <row r="24" spans="2:5" ht="27.75" customHeight="1" x14ac:dyDescent="0.2">
      <c r="B24" s="2" t="s">
        <v>19</v>
      </c>
      <c r="C24" s="2"/>
      <c r="D24" s="2"/>
      <c r="E24" s="2"/>
    </row>
    <row r="25" spans="2:5" ht="27.75" customHeight="1" x14ac:dyDescent="0.2">
      <c r="B25" s="2" t="s">
        <v>20</v>
      </c>
      <c r="C25" s="2"/>
      <c r="D25" s="2"/>
      <c r="E25" s="2"/>
    </row>
    <row r="26" spans="2:5" ht="27.75" customHeight="1" x14ac:dyDescent="0.2">
      <c r="B26" s="2" t="s">
        <v>21</v>
      </c>
      <c r="C26" s="2"/>
      <c r="D26" s="2"/>
      <c r="E26" s="2"/>
    </row>
    <row r="28" spans="2:5" ht="25.5" customHeight="1" x14ac:dyDescent="0.2">
      <c r="B28" s="1" t="s">
        <v>22</v>
      </c>
      <c r="C28" s="1"/>
      <c r="D28" s="1"/>
      <c r="E28" s="1"/>
    </row>
  </sheetData>
  <mergeCells count="23">
    <mergeCell ref="B26:E26"/>
    <mergeCell ref="B28:E28"/>
    <mergeCell ref="B20:E20"/>
    <mergeCell ref="B22:E22"/>
    <mergeCell ref="B23:E23"/>
    <mergeCell ref="B24:E24"/>
    <mergeCell ref="B25:E25"/>
    <mergeCell ref="B15:E15"/>
    <mergeCell ref="B16:E16"/>
    <mergeCell ref="B17:E17"/>
    <mergeCell ref="B18:E18"/>
    <mergeCell ref="B19:E19"/>
    <mergeCell ref="B10:E10"/>
    <mergeCell ref="B11:E11"/>
    <mergeCell ref="B12:E12"/>
    <mergeCell ref="B13:E13"/>
    <mergeCell ref="B14:E14"/>
    <mergeCell ref="A1:H2"/>
    <mergeCell ref="A3:H3"/>
    <mergeCell ref="B5:B6"/>
    <mergeCell ref="C5:C6"/>
    <mergeCell ref="D5:D6"/>
    <mergeCell ref="E5:E6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29"/>
  <sheetViews>
    <sheetView showGridLines="0" zoomScale="150" zoomScaleNormal="100" workbookViewId="0"/>
  </sheetViews>
  <sheetFormatPr baseColWidth="10" defaultColWidth="8.6640625" defaultRowHeight="15" x14ac:dyDescent="0.2"/>
  <cols>
    <col min="1" max="1" width="26" customWidth="1"/>
    <col min="2" max="4" width="19" customWidth="1"/>
    <col min="5" max="7" width="14" customWidth="1"/>
  </cols>
  <sheetData>
    <row r="1" spans="1:4" ht="18" x14ac:dyDescent="0.2">
      <c r="A1" s="15" t="s">
        <v>23</v>
      </c>
    </row>
    <row r="3" spans="1:4" x14ac:dyDescent="0.2">
      <c r="A3" s="16" t="s">
        <v>24</v>
      </c>
      <c r="B3" s="17"/>
      <c r="C3" s="17"/>
      <c r="D3" s="17"/>
    </row>
    <row r="4" spans="1:4" x14ac:dyDescent="0.2">
      <c r="A4" s="18" t="s">
        <v>25</v>
      </c>
      <c r="B4" s="18" t="s">
        <v>26</v>
      </c>
      <c r="C4" s="18" t="s">
        <v>27</v>
      </c>
      <c r="D4" s="18" t="s">
        <v>28</v>
      </c>
    </row>
    <row r="5" spans="1:4" x14ac:dyDescent="0.2">
      <c r="A5" s="19" t="s">
        <v>29</v>
      </c>
      <c r="B5" s="19">
        <v>8565</v>
      </c>
      <c r="C5" s="20">
        <v>4.46</v>
      </c>
      <c r="D5" s="21">
        <v>6.0000000000000001E-3</v>
      </c>
    </row>
    <row r="6" spans="1:4" x14ac:dyDescent="0.2">
      <c r="A6" s="19" t="s">
        <v>30</v>
      </c>
      <c r="B6" s="19">
        <v>24976</v>
      </c>
      <c r="C6" s="20">
        <v>4.3899999999999997</v>
      </c>
      <c r="D6" s="21">
        <v>8.9999999999999993E-3</v>
      </c>
    </row>
    <row r="7" spans="1:4" x14ac:dyDescent="0.2">
      <c r="A7" s="19" t="s">
        <v>31</v>
      </c>
      <c r="B7" s="19">
        <v>36191</v>
      </c>
      <c r="C7" s="20">
        <v>4.29</v>
      </c>
      <c r="D7" s="21">
        <v>1.4999999999999999E-2</v>
      </c>
    </row>
    <row r="8" spans="1:4" x14ac:dyDescent="0.2">
      <c r="A8" s="19" t="s">
        <v>32</v>
      </c>
      <c r="B8" s="19">
        <v>15264</v>
      </c>
      <c r="C8" s="20">
        <v>4.0999999999999996</v>
      </c>
      <c r="D8" s="21">
        <v>6.6000000000000003E-2</v>
      </c>
    </row>
    <row r="9" spans="1:4" x14ac:dyDescent="0.2">
      <c r="A9" s="19" t="s">
        <v>33</v>
      </c>
      <c r="B9" s="19">
        <v>10834</v>
      </c>
      <c r="C9" s="20">
        <v>3.01</v>
      </c>
      <c r="D9" s="21">
        <v>0.53800000000000003</v>
      </c>
    </row>
    <row r="10" spans="1:4" x14ac:dyDescent="0.2">
      <c r="A10" s="19" t="s">
        <v>34</v>
      </c>
      <c r="B10" s="19">
        <v>2843</v>
      </c>
      <c r="C10" s="20">
        <v>1.75</v>
      </c>
      <c r="D10" s="21">
        <v>0</v>
      </c>
    </row>
    <row r="11" spans="1:4" x14ac:dyDescent="0.2">
      <c r="A11" s="22" t="s">
        <v>35</v>
      </c>
    </row>
    <row r="14" spans="1:4" x14ac:dyDescent="0.2">
      <c r="A14" s="16" t="s">
        <v>36</v>
      </c>
      <c r="B14" s="17"/>
      <c r="C14" s="17"/>
      <c r="D14" s="17"/>
    </row>
    <row r="15" spans="1:4" x14ac:dyDescent="0.2">
      <c r="A15" s="18" t="s">
        <v>37</v>
      </c>
      <c r="B15" s="18" t="s">
        <v>38</v>
      </c>
      <c r="C15" s="18" t="s">
        <v>39</v>
      </c>
      <c r="D15" s="18" t="s">
        <v>40</v>
      </c>
    </row>
    <row r="16" spans="1:4" x14ac:dyDescent="0.2">
      <c r="A16" s="19" t="s">
        <v>41</v>
      </c>
      <c r="B16" s="21">
        <v>-0.39900000000000002</v>
      </c>
      <c r="C16" s="21">
        <v>-0.41099999999999998</v>
      </c>
      <c r="D16" s="21">
        <v>-0.38600000000000001</v>
      </c>
    </row>
    <row r="17" spans="1:4" x14ac:dyDescent="0.2">
      <c r="A17" s="19" t="s">
        <v>42</v>
      </c>
      <c r="B17" s="21">
        <v>-0.72699999999999998</v>
      </c>
      <c r="C17" s="21">
        <v>-0.74299999999999999</v>
      </c>
      <c r="D17" s="21">
        <v>-0.71099999999999997</v>
      </c>
    </row>
    <row r="18" spans="1:4" x14ac:dyDescent="0.2">
      <c r="A18" s="19" t="s">
        <v>43</v>
      </c>
      <c r="B18" s="21">
        <v>-0.20100000000000001</v>
      </c>
      <c r="C18" s="21">
        <v>-0.21299999999999999</v>
      </c>
      <c r="D18" s="21">
        <v>-0.189</v>
      </c>
    </row>
    <row r="19" spans="1:4" x14ac:dyDescent="0.2">
      <c r="A19" s="19" t="s">
        <v>44</v>
      </c>
      <c r="B19" s="21">
        <v>3.5000000000000003E-2</v>
      </c>
      <c r="C19" s="21">
        <v>8.0000000000000002E-3</v>
      </c>
      <c r="D19" s="21">
        <v>6.2E-2</v>
      </c>
    </row>
    <row r="20" spans="1:4" x14ac:dyDescent="0.2">
      <c r="A20" s="22" t="s">
        <v>45</v>
      </c>
    </row>
    <row r="23" spans="1:4" x14ac:dyDescent="0.2">
      <c r="A23" s="16" t="s">
        <v>46</v>
      </c>
      <c r="B23" s="17"/>
      <c r="C23" s="17"/>
      <c r="D23" s="17"/>
    </row>
    <row r="24" spans="1:4" x14ac:dyDescent="0.2">
      <c r="A24" s="18" t="s">
        <v>47</v>
      </c>
      <c r="B24" s="18" t="s">
        <v>48</v>
      </c>
      <c r="C24" s="18" t="s">
        <v>49</v>
      </c>
      <c r="D24" s="18" t="s">
        <v>27</v>
      </c>
    </row>
    <row r="25" spans="1:4" x14ac:dyDescent="0.2">
      <c r="A25" s="19" t="s">
        <v>50</v>
      </c>
      <c r="B25" s="19">
        <v>1</v>
      </c>
      <c r="C25" s="23">
        <v>228071.04000000001</v>
      </c>
      <c r="D25" s="20">
        <v>4.12</v>
      </c>
    </row>
    <row r="26" spans="1:4" x14ac:dyDescent="0.2">
      <c r="A26" s="19" t="s">
        <v>51</v>
      </c>
      <c r="B26" s="19">
        <v>2</v>
      </c>
      <c r="C26" s="23">
        <v>220740.05</v>
      </c>
      <c r="D26" s="20">
        <v>4.08</v>
      </c>
    </row>
    <row r="27" spans="1:4" x14ac:dyDescent="0.2">
      <c r="A27" s="19" t="s">
        <v>52</v>
      </c>
      <c r="B27" s="19">
        <v>3</v>
      </c>
      <c r="C27" s="23">
        <v>198035.22</v>
      </c>
      <c r="D27" s="20">
        <v>3.8</v>
      </c>
    </row>
    <row r="28" spans="1:4" x14ac:dyDescent="0.2">
      <c r="A28" s="24" t="s">
        <v>53</v>
      </c>
      <c r="B28" s="24">
        <v>5</v>
      </c>
      <c r="C28" s="25">
        <v>186524.07</v>
      </c>
      <c r="D28" s="26">
        <v>3.35</v>
      </c>
    </row>
    <row r="29" spans="1:4" x14ac:dyDescent="0.2">
      <c r="A29" s="22" t="s">
        <v>54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Executive Summary</vt:lpstr>
      <vt:lpstr>Supporting Data</vt:lpstr>
      <vt:lpstr>'Executive Summary'!Print_Area</vt:lpstr>
      <vt:lpstr>'Supporting Data'!Print_Area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Surur Khan</cp:lastModifiedBy>
  <cp:revision>1</cp:revision>
  <dcterms:created xsi:type="dcterms:W3CDTF">2026-09-05T16:21:59Z</dcterms:created>
  <dcterms:modified xsi:type="dcterms:W3CDTF">2026-09-05T16:31:46Z</dcterms:modified>
  <dc:language>en-US</dc:language>
</cp:coreProperties>
</file>